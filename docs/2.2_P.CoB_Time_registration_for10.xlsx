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E5847AE2-04E2-41A7-A3F4-4685AFCA5883}" xr6:coauthVersionLast="47" xr6:coauthVersionMax="47" xr10:uidLastSave="{00000000-0000-0000-0000-000000000000}"/>
  <bookViews>
    <workbookView xWindow="-120" yWindow="-120" windowWidth="29040" windowHeight="15840" tabRatio="835" activeTab="1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5" i="11" l="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6" i="11"/>
  <c r="G7" i="11"/>
  <c r="G8" i="11"/>
  <c r="G9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H28" i="23" s="1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A10" i="21" l="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H73" i="22"/>
  <c r="H9" i="11" s="1"/>
  <c r="H37" i="22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H28" i="21"/>
  <c r="G4" i="11" s="1"/>
  <c r="A85" i="21"/>
  <c r="G67" i="21"/>
  <c r="E58" i="21"/>
  <c r="A58" i="21"/>
  <c r="H55" i="21"/>
  <c r="C49" i="21"/>
  <c r="G40" i="21"/>
  <c r="C40" i="21"/>
  <c r="E85" i="21"/>
  <c r="H82" i="21"/>
  <c r="C67" i="21"/>
  <c r="H64" i="2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K5" i="11"/>
  <c r="I4" i="11"/>
  <c r="H5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<sst xmlns="http://schemas.openxmlformats.org/spreadsheetml/2006/main" count="117" uniqueCount="54">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</sst>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11.5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9.5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4.5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633.5</c:v>
                </c:pt>
                <c:pt idx="1">
                  <c:v>582</c:v>
                </c:pt>
                <c:pt idx="2">
                  <c:v>582</c:v>
                </c:pt>
                <c:pt idx="3">
                  <c:v>582</c:v>
                </c:pt>
                <c:pt idx="4">
                  <c:v>582</c:v>
                </c:pt>
                <c:pt idx="5">
                  <c:v>582</c:v>
                </c:pt>
                <c:pt idx="6">
                  <c:v>582</c:v>
                </c:pt>
                <c:pt idx="7">
                  <c:v>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672</c:v>
                </c:pt>
                <c:pt idx="1">
                  <c:v>588</c:v>
                </c:pt>
                <c:pt idx="2">
                  <c:v>504</c:v>
                </c:pt>
                <c:pt idx="3">
                  <c:v>420</c:v>
                </c:pt>
                <c:pt idx="4">
                  <c:v>336</c:v>
                </c:pt>
                <c:pt idx="5">
                  <c:v>252</c:v>
                </c:pt>
                <c:pt idx="6">
                  <c:v>168</c:v>
                </c:pt>
                <c:pt idx="7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zoomScaleNormal="100" workbookViewId="0">
      <selection activeCell="B15" sqref="B15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0</v>
      </c>
      <c r="H2" s="3">
        <f>'Week (4)'!$H$10</f>
        <v>0</v>
      </c>
      <c r="I2" s="3">
        <f>'Week (5)'!$H$10</f>
        <v>0</v>
      </c>
      <c r="J2" s="3">
        <f>'Week (6)'!$H$10</f>
        <v>0</v>
      </c>
      <c r="K2" s="3">
        <f>'Week (7)'!$H$10</f>
        <v>0</v>
      </c>
      <c r="L2" s="3">
        <f>'Week (8)'!$H$10</f>
        <v>0</v>
      </c>
      <c r="M2" s="4">
        <f>SUM(E2:L2)</f>
        <v>9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0</v>
      </c>
      <c r="H3" s="3">
        <f>'Week (4)'!$H$19</f>
        <v>0</v>
      </c>
      <c r="I3" s="3">
        <f>'Week (5)'!$H$19</f>
        <v>0</v>
      </c>
      <c r="J3" s="3">
        <f>'Week (6)'!$H$19</f>
        <v>0</v>
      </c>
      <c r="K3" s="3">
        <f>'Week (7)'!$H$19</f>
        <v>0</v>
      </c>
      <c r="L3" s="3">
        <f>'Week (8)'!$H$19</f>
        <v>0</v>
      </c>
      <c r="M3" s="4">
        <f t="shared" ref="M3:M5" si="0">SUM(E3:L3)</f>
        <v>13.5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11.5</v>
      </c>
      <c r="G4" s="3">
        <f>'Week (3)'!$H$28</f>
        <v>0</v>
      </c>
      <c r="H4" s="3">
        <f>'Week (4)'!$H$28</f>
        <v>0</v>
      </c>
      <c r="I4" s="3">
        <f>'Week (5)'!$H$28</f>
        <v>0</v>
      </c>
      <c r="J4" s="3">
        <f>'Week (6)'!$H$28</f>
        <v>0</v>
      </c>
      <c r="K4" s="3">
        <f>'Week (7)'!$H$28</f>
        <v>0</v>
      </c>
      <c r="L4" s="3">
        <f>'Week (8)'!$H$28</f>
        <v>0</v>
      </c>
      <c r="M4" s="4">
        <f t="shared" si="0"/>
        <v>17.5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0</v>
      </c>
      <c r="H5" s="3">
        <f>'Week (4)'!$H$37</f>
        <v>0</v>
      </c>
      <c r="I5" s="3">
        <f>'Week (5)'!$H$37</f>
        <v>0</v>
      </c>
      <c r="J5" s="3">
        <f>'Week (6)'!$H$37</f>
        <v>0</v>
      </c>
      <c r="K5" s="3">
        <f>'Week (7)'!$H$37</f>
        <v>0</v>
      </c>
      <c r="L5" s="3">
        <f>'Week (8)'!$H$37</f>
        <v>0</v>
      </c>
      <c r="M5" s="4">
        <f t="shared" si="0"/>
        <v>10.5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9.5</v>
      </c>
      <c r="G6" s="3">
        <f>'Week (3)'!$H$46</f>
        <v>0</v>
      </c>
      <c r="H6" s="3">
        <f>'Week (4)'!$H$46</f>
        <v>0</v>
      </c>
      <c r="I6" s="3">
        <f>'Week (5)'!$H$46</f>
        <v>0</v>
      </c>
      <c r="J6" s="3">
        <f>'Week (6)'!$H$46</f>
        <v>0</v>
      </c>
      <c r="K6" s="3">
        <f>'Week (7)'!$H$46</f>
        <v>0</v>
      </c>
      <c r="L6" s="3">
        <f>'Week (8)'!$H$46</f>
        <v>0</v>
      </c>
      <c r="M6" s="4">
        <f t="shared" ref="M6" si="1">SUM(E6:L6)</f>
        <v>15.5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0</v>
      </c>
      <c r="H7" s="3">
        <f>'Week (4)'!$H$55</f>
        <v>0</v>
      </c>
      <c r="I7" s="3">
        <f>'Week (5)'!$H$55</f>
        <v>0</v>
      </c>
      <c r="J7" s="3">
        <f>'Week (6)'!$H$55</f>
        <v>0</v>
      </c>
      <c r="K7" s="3">
        <f>'Week (7)'!$H$55</f>
        <v>0</v>
      </c>
      <c r="L7" s="3">
        <f>'Week (8)'!$H$55</f>
        <v>0</v>
      </c>
      <c r="M7" s="4">
        <f t="shared" ref="M7:M11" si="2">SUM(E7:L7)</f>
        <v>14.5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4.5</v>
      </c>
      <c r="G8" s="3">
        <f>'Week (3)'!$H$64</f>
        <v>0</v>
      </c>
      <c r="H8" s="3">
        <f>'Week (4)'!$H$64</f>
        <v>0</v>
      </c>
      <c r="I8" s="3">
        <f>'Week (5)'!$H$64</f>
        <v>0</v>
      </c>
      <c r="J8" s="3">
        <f>'Week (6)'!$H$64</f>
        <v>0</v>
      </c>
      <c r="K8" s="3">
        <f>'Week (7)'!$H$64</f>
        <v>0</v>
      </c>
      <c r="L8" s="3">
        <f>'Week (8)'!$H$64</f>
        <v>0</v>
      </c>
      <c r="M8" s="4">
        <f t="shared" si="2"/>
        <v>9.5</v>
      </c>
    </row>
    <row r="9" spans="1:13" ht="15" customHeight="1" x14ac:dyDescent="0.25">
      <c r="A9" s="30"/>
      <c r="B9" s="31"/>
      <c r="D9" s="16"/>
      <c r="E9" s="3">
        <f>'Week (1)'!$H$75</f>
        <v>0</v>
      </c>
      <c r="F9" s="3">
        <f>'Week (2)'!$H$73</f>
        <v>0</v>
      </c>
      <c r="G9" s="3">
        <f>'Week (3)'!$H$73</f>
        <v>0</v>
      </c>
      <c r="H9" s="3">
        <f>'Week (4)'!$H$73</f>
        <v>0</v>
      </c>
      <c r="I9" s="3">
        <f>'Week (5)'!$H$73</f>
        <v>0</v>
      </c>
      <c r="J9" s="3">
        <f>'Week (6)'!$H$73</f>
        <v>0</v>
      </c>
      <c r="K9" s="3">
        <f>'Week (7)'!$H$73</f>
        <v>0</v>
      </c>
      <c r="L9" s="3">
        <f>'Week (8)'!$H$73</f>
        <v>0</v>
      </c>
      <c r="M9" s="4">
        <f t="shared" si="2"/>
        <v>0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38.5</v>
      </c>
      <c r="F12" s="15">
        <f t="shared" si="3"/>
        <v>51.5</v>
      </c>
      <c r="G12" s="15">
        <f t="shared" si="3"/>
        <v>0</v>
      </c>
      <c r="H12" s="15">
        <f t="shared" si="3"/>
        <v>0</v>
      </c>
      <c r="I12" s="15">
        <f t="shared" si="3"/>
        <v>0</v>
      </c>
      <c r="J12" s="15">
        <f t="shared" si="3"/>
        <v>0</v>
      </c>
      <c r="K12" s="15">
        <f t="shared" si="3"/>
        <v>0</v>
      </c>
      <c r="L12" s="15">
        <f t="shared" si="3"/>
        <v>0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90</v>
      </c>
      <c r="G13" s="20"/>
      <c r="H13" s="20">
        <f>SUM(G2:H11)</f>
        <v>0</v>
      </c>
      <c r="I13" s="20"/>
      <c r="J13" s="20">
        <f>SUM(I2:J11)</f>
        <v>0</v>
      </c>
      <c r="K13" s="20"/>
      <c r="L13" s="20">
        <f>SUM(K12:L12)</f>
        <v>0</v>
      </c>
    </row>
    <row r="14" spans="1:13" ht="15.75" customHeight="1" x14ac:dyDescent="0.25">
      <c r="A14" s="32"/>
      <c r="B14" s="31"/>
      <c r="D14" s="14" t="s">
        <v>35</v>
      </c>
      <c r="E14" s="18">
        <f>E15-E12</f>
        <v>633.5</v>
      </c>
      <c r="F14" s="18">
        <f>E14-F12</f>
        <v>582</v>
      </c>
      <c r="G14" s="18">
        <f t="shared" ref="G14:L14" si="4">F14-G12</f>
        <v>582</v>
      </c>
      <c r="H14" s="18">
        <f t="shared" si="4"/>
        <v>582</v>
      </c>
      <c r="I14" s="18">
        <f t="shared" si="4"/>
        <v>582</v>
      </c>
      <c r="J14" s="18">
        <f t="shared" si="4"/>
        <v>582</v>
      </c>
      <c r="K14" s="18">
        <f t="shared" si="4"/>
        <v>582</v>
      </c>
      <c r="L14" s="18">
        <f t="shared" si="4"/>
        <v>582</v>
      </c>
    </row>
    <row r="15" spans="1:13" ht="15.75" customHeight="1" x14ac:dyDescent="0.25">
      <c r="A15" s="33" t="s">
        <v>10</v>
      </c>
      <c r="B15" s="34">
        <f>COUNTIF(D2:D11, "&gt;''" )*12</f>
        <v>84</v>
      </c>
      <c r="D15" s="14" t="s">
        <v>36</v>
      </c>
      <c r="E15" s="18">
        <f t="shared" ref="E15:K15" si="5">$B$15+F15</f>
        <v>672</v>
      </c>
      <c r="F15" s="18">
        <f t="shared" si="5"/>
        <v>588</v>
      </c>
      <c r="G15" s="18">
        <f t="shared" si="5"/>
        <v>504</v>
      </c>
      <c r="H15" s="18">
        <f t="shared" si="5"/>
        <v>420</v>
      </c>
      <c r="I15" s="18">
        <f t="shared" si="5"/>
        <v>336</v>
      </c>
      <c r="J15" s="18">
        <f t="shared" si="5"/>
        <v>252</v>
      </c>
      <c r="K15" s="18">
        <f t="shared" si="5"/>
        <v>168</v>
      </c>
      <c r="L15" s="18">
        <f>$B$15</f>
        <v>84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zoomScaleNormal="100" workbookViewId="0">
      <selection activeCell="H9" sqref="H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3" t="s">
        <v>53</v>
      </c>
      <c r="C1" s="43"/>
      <c r="D1" s="43"/>
      <c r="E1" s="43"/>
      <c r="F1" s="43"/>
      <c r="G1" s="43"/>
      <c r="H1" s="44"/>
    </row>
    <row r="3" spans="1:8" ht="22.5" customHeight="1" x14ac:dyDescent="0.2">
      <c r="A3" s="13" t="str">
        <f>Total!D2</f>
        <v>Nestoras</v>
      </c>
      <c r="B3" s="40" t="s">
        <v>37</v>
      </c>
      <c r="C3" s="41"/>
      <c r="D3" s="41"/>
      <c r="E3" s="41"/>
      <c r="F3" s="41"/>
      <c r="G3" s="41"/>
      <c r="H3" s="42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0" t="str">
        <f>$B$3</f>
        <v>Hours</v>
      </c>
      <c r="C13" s="41"/>
      <c r="D13" s="41"/>
      <c r="E13" s="41"/>
      <c r="F13" s="41"/>
      <c r="G13" s="41"/>
      <c r="H13" s="42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0" t="str">
        <f>$B$3</f>
        <v>Hours</v>
      </c>
      <c r="C23" s="41"/>
      <c r="D23" s="41"/>
      <c r="E23" s="41"/>
      <c r="F23" s="41"/>
      <c r="G23" s="41"/>
      <c r="H23" s="42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0" t="str">
        <f>$B$3</f>
        <v>Hours</v>
      </c>
      <c r="C32" s="41"/>
      <c r="D32" s="41"/>
      <c r="E32" s="41"/>
      <c r="F32" s="41"/>
      <c r="G32" s="41"/>
      <c r="H32" s="42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0" t="str">
        <f>$B$3</f>
        <v>Hours</v>
      </c>
      <c r="C41" s="41"/>
      <c r="D41" s="41"/>
      <c r="E41" s="41"/>
      <c r="F41" s="41"/>
      <c r="G41" s="41"/>
      <c r="H41" s="42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0" t="str">
        <f>$B$3</f>
        <v>Hours</v>
      </c>
      <c r="C50" s="41"/>
      <c r="D50" s="41"/>
      <c r="E50" s="41"/>
      <c r="F50" s="41"/>
      <c r="G50" s="41"/>
      <c r="H50" s="42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0" t="str">
        <f>$B$3</f>
        <v>Hours</v>
      </c>
      <c r="C59" s="41"/>
      <c r="D59" s="41"/>
      <c r="E59" s="41"/>
      <c r="F59" s="41"/>
      <c r="G59" s="41"/>
      <c r="H59" s="42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>
        <f>Total!D9</f>
        <v>0</v>
      </c>
      <c r="B68" s="40" t="str">
        <f>$B$3</f>
        <v>Hours</v>
      </c>
      <c r="C68" s="41"/>
      <c r="D68" s="41"/>
      <c r="E68" s="41"/>
      <c r="F68" s="41"/>
      <c r="G68" s="41"/>
      <c r="H68" s="42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0</v>
      </c>
      <c r="B70" s="10"/>
      <c r="C70" s="10"/>
      <c r="D70" s="10"/>
      <c r="E70" s="10"/>
      <c r="F70" s="10"/>
      <c r="G70" s="10"/>
      <c r="H70" s="6">
        <f>SUM(B70:G70)</f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0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0</v>
      </c>
      <c r="G75" s="11">
        <f t="shared" si="22"/>
        <v>0</v>
      </c>
      <c r="H75" s="11">
        <f>SUM(B75:G75)</f>
        <v>0</v>
      </c>
    </row>
    <row r="77" spans="1:8" ht="23.25" x14ac:dyDescent="0.2">
      <c r="A77" s="12">
        <f>Total!D10</f>
        <v>0</v>
      </c>
      <c r="B77" s="40" t="str">
        <f>$B$3</f>
        <v>Hours</v>
      </c>
      <c r="C77" s="41"/>
      <c r="D77" s="41"/>
      <c r="E77" s="41"/>
      <c r="F77" s="41"/>
      <c r="G77" s="41"/>
      <c r="H77" s="42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0" t="str">
        <f>$B$3</f>
        <v>Hours</v>
      </c>
      <c r="C86" s="41"/>
      <c r="D86" s="41"/>
      <c r="E86" s="41"/>
      <c r="F86" s="41"/>
      <c r="G86" s="41"/>
      <c r="H86" s="42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1:H1"/>
    <mergeCell ref="B3:H3"/>
    <mergeCell ref="B13:H13"/>
    <mergeCell ref="B23:H23"/>
    <mergeCell ref="B32:H32"/>
    <mergeCell ref="B86:H86"/>
    <mergeCell ref="B41:H41"/>
    <mergeCell ref="B50:H50"/>
    <mergeCell ref="B59:H59"/>
    <mergeCell ref="B68:H68"/>
    <mergeCell ref="B77:H77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zoomScaleNormal="100" workbookViewId="0">
      <selection activeCell="H10" sqref="H1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0</v>
      </c>
      <c r="H28" s="11">
        <f>SUM(B28:G28)</f>
        <v>11.5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0</v>
      </c>
      <c r="H46" s="11">
        <f>SUM(B46:G46)</f>
        <v>9.5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0</v>
      </c>
      <c r="H64" s="11">
        <f>SUM(B64:G64)</f>
        <v>4.5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zoomScaleNormal="100" workbookViewId="0">
      <selection activeCell="A3" sqref="A3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zoomScaleNormal="100" workbookViewId="0">
      <selection activeCell="B4" sqref="B4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">
        <v>37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'Week (1)'!$B$3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zoomScaleNormal="100" workbookViewId="0">
      <selection activeCell="A10" sqref="A1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/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A129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>
        <f>Total!D9</f>
        <v>0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2024-11-24T23:19:32Z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