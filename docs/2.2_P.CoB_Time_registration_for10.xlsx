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8BB372C1-FEC0-47DF-B99D-DF7EA7807F8C}" xr6:coauthVersionLast="47" xr6:coauthVersionMax="47" xr10:uidLastSave="{00000000-0000-0000-0000-000000000000}"/>
  <bookViews>
    <workbookView xWindow="-120" yWindow="-120" windowWidth="29040" windowHeight="15840" tabRatio="835" activeTab="1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40" i="24" l="1"/>
  <c r="B15" i="1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H28" i="23" l="1"/>
  <c r="I4" i="11" s="1"/>
  <c r="A10" i="2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G9" i="11" s="1"/>
  <c r="H73" i="22"/>
  <c r="H9" i="11" s="1"/>
  <c r="H37" i="22"/>
  <c r="H5" i="11" s="1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G6" i="11" s="1"/>
  <c r="H28" i="21"/>
  <c r="G4" i="11" s="1"/>
  <c r="A85" i="21"/>
  <c r="G67" i="21"/>
  <c r="E58" i="21"/>
  <c r="A58" i="21"/>
  <c r="H55" i="21"/>
  <c r="G7" i="11" s="1"/>
  <c r="C49" i="21"/>
  <c r="G40" i="21"/>
  <c r="C40" i="21"/>
  <c r="E85" i="21"/>
  <c r="H82" i="21"/>
  <c r="C67" i="21"/>
  <c r="H64" i="21"/>
  <c r="G8" i="11" s="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K5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<sst xmlns="http://schemas.openxmlformats.org/spreadsheetml/2006/main" count="195" uniqueCount="98">
  <si>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</si>
  <si>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</si>
  <si>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</si>
  <si>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</si>
  <si>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</si>
  <si>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</si>
  <si>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</si>
  <si>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</si>
  <si>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</si>
  <si>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</si>
  <si>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</si>
  <si>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</si>
  <si>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</si>
  <si>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</si>
  <si>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</si>
  <si>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</si>
  <si>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</si>
  <si>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</si>
  <si>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</si>
  <si>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</si>
  <si>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</si>
  <si>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</si>
  <si>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</si>
  <si>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</si>
  <si>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</si>
  <si>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</si>
  <si>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</si>
  <si>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</si>
  <si>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</si>
  <si>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</si>
  <si>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</si>
  <si>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</si>
  <si>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</si>
  <si>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</si>
  <si>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</si>
  <si>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</si>
  <si>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</si>
  <si>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</si>
  <si>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</si>
  <si>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</si>
  <si>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</si>
  <si>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</si>
  <si>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</si>
  <si>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</si>
  <si>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</si>
  <si>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</si>
  <si>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</si>
  <si>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</si>
  <si>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</si>
  <si>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</si>
  <si>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</si>
  <si>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</si>
  <si>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</si>
  <si>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</si>
  <si>
    <t>Backlog</t>
  </si>
  <si>
    <t xml:space="preserve"> </t>
  </si>
  <si>
    <t>Reviewing others' work with feedback</t>
  </si>
  <si>
    <t>Rokas</t>
  </si>
  <si>
    <t>Client email</t>
  </si>
  <si>
    <t>Research editor render tech</t>
  </si>
  <si>
    <t>Database setup</t>
  </si>
  <si>
    <t>Authentication on backend</t>
  </si>
  <si>
    <t>Research GitLab integration</t>
  </si>
  <si>
    <t>Authentication on frontend</t>
  </si>
  <si>
    <t>Session page with editor</t>
  </si>
  <si>
    <t>Reviewing work of others + feedback + help</t>
  </si>
  <si>
    <t>Code reviews</t>
  </si>
  <si>
    <t>Session dashboard</t>
  </si>
  <si>
    <t>API request for creating sessions</t>
  </si>
  <si>
    <t>CI workflows</t>
  </si>
  <si>
    <t>Research for websockets</t>
  </si>
  <si>
    <t>User list</t>
  </si>
  <si>
    <t>Frontend on registration page</t>
  </si>
  <si>
    <t>API request for creating a user</t>
  </si>
  <si>
    <t>API request for modifying a user</t>
  </si>
  <si>
    <t>Adding nodes in editor</t>
  </si>
  <si>
    <t>API request for creating actions</t>
  </si>
  <si>
    <t>API request for getting past actions</t>
  </si>
  <si>
    <t>API request for obtaining a single user</t>
  </si>
  <si>
    <t>Documenting sprint retrospective</t>
  </si>
  <si>
    <t>Setting up web sockets</t>
  </si>
  <si>
    <t>Appointing and demoting leaders</t>
  </si>
  <si>
    <t>Export to GitLab</t>
  </si>
  <si>
    <t>API request for adding users to a session</t>
  </si>
  <si>
    <t>Editing nodes in editor</t>
  </si>
  <si>
    <t>Reviewing merge requests + providing help</t>
  </si>
  <si>
    <t>Fixing issues with fetch wrapper</t>
  </si>
  <si>
    <t>Editing edges in editor</t>
  </si>
  <si>
    <t>Reviewing merge requests</t>
  </si>
  <si>
    <t>Creating review action when adding a node</t>
  </si>
  <si>
    <t>Fetching all review actions to the history bar (frontend)</t>
  </si>
  <si>
    <t>Closing and opening sessions (frontend)</t>
  </si>
  <si>
    <t>Setting up web sockets (fixing issues)</t>
  </si>
  <si>
    <t>API request for getting a single past action</t>
  </si>
  <si>
    <t>Learning socket.io</t>
  </si>
  <si>
    <t>Automated testing for backend</t>
  </si>
  <si>
    <t>API request for changing the status of sessions</t>
  </si>
  <si>
    <t>Context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</si>
</sst>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12</c:v>
                </c:pt>
                <c:pt idx="3">
                  <c:v>7</c:v>
                </c:pt>
                <c:pt idx="4">
                  <c:v>10.5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10.5</c:v>
                </c:pt>
                <c:pt idx="3">
                  <c:v>8.5</c:v>
                </c:pt>
                <c:pt idx="4">
                  <c:v>9.5</c:v>
                </c:pt>
                <c:pt idx="5">
                  <c:v>6.5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16.5</c:v>
                </c:pt>
                <c:pt idx="2">
                  <c:v>11.5</c:v>
                </c:pt>
                <c:pt idx="3">
                  <c:v>11</c:v>
                </c:pt>
                <c:pt idx="4">
                  <c:v>15</c:v>
                </c:pt>
                <c:pt idx="5">
                  <c:v>8.5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10.5</c:v>
                </c:pt>
                <c:pt idx="3">
                  <c:v>8</c:v>
                </c:pt>
                <c:pt idx="4">
                  <c:v>4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13</c:v>
                </c:pt>
                <c:pt idx="2">
                  <c:v>12.5</c:v>
                </c:pt>
                <c:pt idx="3">
                  <c:v>11</c:v>
                </c:pt>
                <c:pt idx="4">
                  <c:v>8.5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12.5</c:v>
                </c:pt>
                <c:pt idx="3">
                  <c:v>11.5</c:v>
                </c:pt>
                <c:pt idx="4">
                  <c:v>14</c:v>
                </c:pt>
                <c:pt idx="5">
                  <c:v>6.5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11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  <c:pt idx="0">
                  <c:v>Rokas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5</c:v>
                </c:pt>
                <c:pt idx="1">
                  <c:v>2.5</c:v>
                </c:pt>
                <c:pt idx="2">
                  <c:v>7.5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724.5</c:v>
                </c:pt>
                <c:pt idx="1">
                  <c:v>658.5</c:v>
                </c:pt>
                <c:pt idx="2">
                  <c:v>572.5</c:v>
                </c:pt>
                <c:pt idx="3">
                  <c:v>499.5</c:v>
                </c:pt>
                <c:pt idx="4">
                  <c:v>419</c:v>
                </c:pt>
                <c:pt idx="5">
                  <c:v>353.5</c:v>
                </c:pt>
                <c:pt idx="6">
                  <c:v>353.5</c:v>
                </c:pt>
                <c:pt idx="7">
                  <c:v>353.5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768</c:v>
                </c:pt>
                <c:pt idx="1">
                  <c:v>672</c:v>
                </c:pt>
                <c:pt idx="2">
                  <c:v>576</c:v>
                </c:pt>
                <c:pt idx="3">
                  <c:v>480</c:v>
                </c:pt>
                <c:pt idx="4">
                  <c:v>384</c:v>
                </c:pt>
                <c:pt idx="5">
                  <c:v>288</c:v>
                </c:pt>
                <c:pt idx="6">
                  <c:v>192</c:v>
                </c:pt>
                <c:pt idx="7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topLeftCell="A4" zoomScale="98" zoomScaleNormal="100" workbookViewId="0">
      <selection activeCell="O24" sqref="O24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12</v>
      </c>
      <c r="H2" s="3">
        <f>'Week (4)'!$H$10</f>
        <v>7</v>
      </c>
      <c r="I2" s="3">
        <f>'Week (5)'!$H$10</f>
        <v>10.5</v>
      </c>
      <c r="J2" s="3">
        <f>'Week (6)'!$H$10</f>
        <v>7</v>
      </c>
      <c r="K2" s="3">
        <f>'Week (7)'!$H$10</f>
        <v>0</v>
      </c>
      <c r="L2" s="3">
        <f>'Week (8)'!$H$10</f>
        <v>0</v>
      </c>
      <c r="M2" s="4">
        <f>SUM(E2:L2)</f>
        <v>45.5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10.5</v>
      </c>
      <c r="H3" s="3">
        <f>'Week (4)'!$H$19</f>
        <v>8.5</v>
      </c>
      <c r="I3" s="3">
        <f>'Week (5)'!$H$19</f>
        <v>9.5</v>
      </c>
      <c r="J3" s="3">
        <f>'Week (6)'!$H$19</f>
        <v>6.5</v>
      </c>
      <c r="K3" s="3">
        <f>'Week (7)'!$H$19</f>
        <v>0</v>
      </c>
      <c r="L3" s="3">
        <f>'Week (8)'!$H$19</f>
        <v>0</v>
      </c>
      <c r="M3" s="4">
        <f t="shared" ref="M3:M5" si="0">SUM(E3:L3)</f>
        <v>48.5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16.5</v>
      </c>
      <c r="G4" s="3">
        <f>'Week (3)'!$H$28</f>
        <v>11.5</v>
      </c>
      <c r="H4" s="3">
        <f>'Week (4)'!$H$28</f>
        <v>11</v>
      </c>
      <c r="I4" s="3">
        <f>'Week (5)'!$H$28</f>
        <v>15</v>
      </c>
      <c r="J4" s="3">
        <f>'Week (6)'!$H$28</f>
        <v>8.5</v>
      </c>
      <c r="K4" s="3">
        <f>'Week (7)'!$H$28</f>
        <v>0</v>
      </c>
      <c r="L4" s="3">
        <f>'Week (8)'!$H$28</f>
        <v>0</v>
      </c>
      <c r="M4" s="4">
        <f t="shared" si="0"/>
        <v>68.5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10.5</v>
      </c>
      <c r="H5" s="3">
        <f>'Week (4)'!$H$37</f>
        <v>8</v>
      </c>
      <c r="I5" s="3">
        <f>'Week (5)'!$H$37</f>
        <v>4</v>
      </c>
      <c r="J5" s="3">
        <f>'Week (6)'!$H$37</f>
        <v>7</v>
      </c>
      <c r="K5" s="3">
        <f>'Week (7)'!$H$37</f>
        <v>0</v>
      </c>
      <c r="L5" s="3">
        <f>'Week (8)'!$H$37</f>
        <v>0</v>
      </c>
      <c r="M5" s="4">
        <f t="shared" si="0"/>
        <v>40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13</v>
      </c>
      <c r="G6" s="3">
        <f>'Week (3)'!$H$46</f>
        <v>12.5</v>
      </c>
      <c r="H6" s="3">
        <f>'Week (4)'!$H$46</f>
        <v>11</v>
      </c>
      <c r="I6" s="3">
        <f>'Week (5)'!$H$46</f>
        <v>8.5</v>
      </c>
      <c r="J6" s="3">
        <f>'Week (6)'!$H$46</f>
        <v>9</v>
      </c>
      <c r="K6" s="3">
        <f>'Week (7)'!$H$46</f>
        <v>0</v>
      </c>
      <c r="L6" s="3">
        <f>'Week (8)'!$H$46</f>
        <v>0</v>
      </c>
      <c r="M6" s="4">
        <f t="shared" ref="M6" si="1">SUM(E6:L6)</f>
        <v>60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12.5</v>
      </c>
      <c r="H7" s="3">
        <f>'Week (4)'!$H$55</f>
        <v>11.5</v>
      </c>
      <c r="I7" s="3">
        <f>'Week (5)'!$H$55</f>
        <v>14</v>
      </c>
      <c r="J7" s="3">
        <f>'Week (6)'!$H$55</f>
        <v>6.5</v>
      </c>
      <c r="K7" s="3">
        <f>'Week (7)'!$H$55</f>
        <v>0</v>
      </c>
      <c r="L7" s="3">
        <f>'Week (8)'!$H$55</f>
        <v>0</v>
      </c>
      <c r="M7" s="4">
        <f t="shared" ref="M7:M11" si="2">SUM(E7:L7)</f>
        <v>59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8</v>
      </c>
      <c r="G8" s="3">
        <f>'Week (3)'!$H$64</f>
        <v>9</v>
      </c>
      <c r="H8" s="3">
        <f>'Week (4)'!$H$64</f>
        <v>9</v>
      </c>
      <c r="I8" s="3">
        <f>'Week (5)'!$H$64</f>
        <v>11</v>
      </c>
      <c r="J8" s="3">
        <f>'Week (6)'!$H$64</f>
        <v>9</v>
      </c>
      <c r="K8" s="3">
        <f>'Week (7)'!$H$64</f>
        <v>0</v>
      </c>
      <c r="L8" s="3">
        <f>'Week (8)'!$H$64</f>
        <v>0</v>
      </c>
      <c r="M8" s="4">
        <f t="shared" si="2"/>
        <v>51</v>
      </c>
    </row>
    <row r="9" spans="1:13" ht="15" customHeight="1" x14ac:dyDescent="0.25">
      <c r="A9" s="30"/>
      <c r="B9" s="31"/>
      <c r="D9" s="16" t="s">
        <v>57</v>
      </c>
      <c r="E9" s="3">
        <f>'Week (1)'!$H$75</f>
        <v>5</v>
      </c>
      <c r="F9" s="3">
        <f>'Week (2)'!$H$73</f>
        <v>2.5</v>
      </c>
      <c r="G9" s="3">
        <f>'Week (3)'!$H$73</f>
        <v>7.5</v>
      </c>
      <c r="H9" s="3">
        <f>'Week (4)'!$H$73</f>
        <v>7</v>
      </c>
      <c r="I9" s="3">
        <f>'Week (5)'!$H$73</f>
        <v>8</v>
      </c>
      <c r="J9" s="3">
        <f>'Week (6)'!$H$73</f>
        <v>12</v>
      </c>
      <c r="K9" s="3">
        <f>'Week (7)'!$H$73</f>
        <v>0</v>
      </c>
      <c r="L9" s="3">
        <f>'Week (8)'!$H$73</f>
        <v>0</v>
      </c>
      <c r="M9" s="4">
        <f t="shared" si="2"/>
        <v>42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43.5</v>
      </c>
      <c r="F12" s="15">
        <f t="shared" si="3"/>
        <v>66</v>
      </c>
      <c r="G12" s="15">
        <f t="shared" si="3"/>
        <v>86</v>
      </c>
      <c r="H12" s="15">
        <f t="shared" si="3"/>
        <v>73</v>
      </c>
      <c r="I12" s="15">
        <f t="shared" si="3"/>
        <v>80.5</v>
      </c>
      <c r="J12" s="15">
        <f t="shared" si="3"/>
        <v>65.5</v>
      </c>
      <c r="K12" s="15">
        <f t="shared" si="3"/>
        <v>0</v>
      </c>
      <c r="L12" s="15">
        <f t="shared" si="3"/>
        <v>0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109.5</v>
      </c>
      <c r="G13" s="20"/>
      <c r="H13" s="20">
        <f>SUM(G2:H11)</f>
        <v>159</v>
      </c>
      <c r="I13" s="20"/>
      <c r="J13" s="20">
        <f>SUM(I2:J11)</f>
        <v>146</v>
      </c>
      <c r="K13" s="20"/>
      <c r="L13" s="20">
        <f>SUM(K12:L12)</f>
        <v>0</v>
      </c>
    </row>
    <row r="14" spans="1:13" ht="15.75" customHeight="1" x14ac:dyDescent="0.25">
      <c r="A14" s="32"/>
      <c r="B14" s="31"/>
      <c r="D14" s="14" t="s">
        <v>35</v>
      </c>
      <c r="E14" s="18">
        <f>E15-E12</f>
        <v>724.5</v>
      </c>
      <c r="F14" s="18">
        <f>E14-F12</f>
        <v>658.5</v>
      </c>
      <c r="G14" s="18">
        <f t="shared" ref="G14:L14" si="4">F14-G12</f>
        <v>572.5</v>
      </c>
      <c r="H14" s="18">
        <f t="shared" si="4"/>
        <v>499.5</v>
      </c>
      <c r="I14" s="18">
        <f t="shared" si="4"/>
        <v>419</v>
      </c>
      <c r="J14" s="18">
        <f t="shared" si="4"/>
        <v>353.5</v>
      </c>
      <c r="K14" s="18">
        <f t="shared" si="4"/>
        <v>353.5</v>
      </c>
      <c r="L14" s="18">
        <f t="shared" si="4"/>
        <v>353.5</v>
      </c>
    </row>
    <row r="15" spans="1:13" ht="15.75" customHeight="1" x14ac:dyDescent="0.25">
      <c r="A15" s="33" t="s">
        <v>10</v>
      </c>
      <c r="B15" s="34">
        <f>COUNTIF(D2:D11, "&gt;''" )*12</f>
        <v>96</v>
      </c>
      <c r="D15" s="14" t="s">
        <v>36</v>
      </c>
      <c r="E15" s="18">
        <f t="shared" ref="E15:K15" si="5">$B$15+F15</f>
        <v>768</v>
      </c>
      <c r="F15" s="18">
        <f t="shared" si="5"/>
        <v>672</v>
      </c>
      <c r="G15" s="18">
        <f t="shared" si="5"/>
        <v>576</v>
      </c>
      <c r="H15" s="18">
        <f t="shared" si="5"/>
        <v>480</v>
      </c>
      <c r="I15" s="18">
        <f t="shared" si="5"/>
        <v>384</v>
      </c>
      <c r="J15" s="18">
        <f t="shared" si="5"/>
        <v>288</v>
      </c>
      <c r="K15" s="18">
        <f t="shared" si="5"/>
        <v>192</v>
      </c>
      <c r="L15" s="18">
        <f>$B$15</f>
        <v>96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topLeftCell="A56" zoomScaleNormal="100" workbookViewId="0">
      <selection activeCell="F71" sqref="F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3" t="s">
        <v>53</v>
      </c>
      <c r="C1" s="43"/>
      <c r="D1" s="43"/>
      <c r="E1" s="43"/>
      <c r="F1" s="43"/>
      <c r="G1" s="43"/>
      <c r="H1" s="44"/>
    </row>
    <row r="3" spans="1:8" ht="22.5" customHeight="1" x14ac:dyDescent="0.2">
      <c r="A3" s="13" t="str">
        <f>Total!D2</f>
        <v>Nestoras</v>
      </c>
      <c r="B3" s="40" t="s">
        <v>37</v>
      </c>
      <c r="C3" s="41"/>
      <c r="D3" s="41"/>
      <c r="E3" s="41"/>
      <c r="F3" s="41"/>
      <c r="G3" s="41"/>
      <c r="H3" s="42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0" t="str">
        <f>$B$3</f>
        <v>Hours</v>
      </c>
      <c r="C13" s="41"/>
      <c r="D13" s="41"/>
      <c r="E13" s="41"/>
      <c r="F13" s="41"/>
      <c r="G13" s="41"/>
      <c r="H13" s="42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0" t="str">
        <f>$B$3</f>
        <v>Hours</v>
      </c>
      <c r="C23" s="41"/>
      <c r="D23" s="41"/>
      <c r="E23" s="41"/>
      <c r="F23" s="41"/>
      <c r="G23" s="41"/>
      <c r="H23" s="42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0" t="str">
        <f>$B$3</f>
        <v>Hours</v>
      </c>
      <c r="C32" s="41"/>
      <c r="D32" s="41"/>
      <c r="E32" s="41"/>
      <c r="F32" s="41"/>
      <c r="G32" s="41"/>
      <c r="H32" s="42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0" t="str">
        <f>$B$3</f>
        <v>Hours</v>
      </c>
      <c r="C41" s="41"/>
      <c r="D41" s="41"/>
      <c r="E41" s="41"/>
      <c r="F41" s="41"/>
      <c r="G41" s="41"/>
      <c r="H41" s="42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0" t="str">
        <f>$B$3</f>
        <v>Hours</v>
      </c>
      <c r="C50" s="41"/>
      <c r="D50" s="41"/>
      <c r="E50" s="41"/>
      <c r="F50" s="41"/>
      <c r="G50" s="41"/>
      <c r="H50" s="42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0" t="str">
        <f>$B$3</f>
        <v>Hours</v>
      </c>
      <c r="C59" s="41"/>
      <c r="D59" s="41"/>
      <c r="E59" s="41"/>
      <c r="F59" s="41"/>
      <c r="G59" s="41"/>
      <c r="H59" s="42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 t="str">
        <f>Total!D9</f>
        <v>Rokas</v>
      </c>
      <c r="B68" s="40" t="str">
        <f>$B$3</f>
        <v>Hours</v>
      </c>
      <c r="C68" s="41"/>
      <c r="D68" s="41"/>
      <c r="E68" s="41"/>
      <c r="F68" s="41"/>
      <c r="G68" s="41"/>
      <c r="H68" s="42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50</v>
      </c>
      <c r="B70" s="10">
        <v>2.5</v>
      </c>
      <c r="C70" s="10"/>
      <c r="D70" s="10"/>
      <c r="E70" s="10"/>
      <c r="F70" s="10">
        <v>2.5</v>
      </c>
      <c r="G70" s="10"/>
      <c r="H70" s="6">
        <f>SUM(B70:G70)</f>
        <v>5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2.5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2.5</v>
      </c>
      <c r="G75" s="11">
        <f t="shared" si="22"/>
        <v>0</v>
      </c>
      <c r="H75" s="11">
        <f>SUM(B75:G75)</f>
        <v>5</v>
      </c>
    </row>
    <row r="77" spans="1:8" ht="23.25" x14ac:dyDescent="0.2">
      <c r="A77" s="12">
        <f>Total!D10</f>
        <v>0</v>
      </c>
      <c r="B77" s="40" t="str">
        <f>$B$3</f>
        <v>Hours</v>
      </c>
      <c r="C77" s="41"/>
      <c r="D77" s="41"/>
      <c r="E77" s="41"/>
      <c r="F77" s="41"/>
      <c r="G77" s="41"/>
      <c r="H77" s="42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0" t="str">
        <f>$B$3</f>
        <v>Hours</v>
      </c>
      <c r="C86" s="41"/>
      <c r="D86" s="41"/>
      <c r="E86" s="41"/>
      <c r="F86" s="41"/>
      <c r="G86" s="41"/>
      <c r="H86" s="42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1:H1"/>
    <mergeCell ref="B3:H3"/>
    <mergeCell ref="B13:H13"/>
    <mergeCell ref="B23:H23"/>
    <mergeCell ref="B32:H32"/>
    <mergeCell ref="B86:H86"/>
    <mergeCell ref="B41:H41"/>
    <mergeCell ref="B50:H50"/>
    <mergeCell ref="B59:H59"/>
    <mergeCell ref="B68:H68"/>
    <mergeCell ref="B77:H77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zoomScaleNormal="100" workbookViewId="0">
      <selection activeCell="I16" sqref="I16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 t="s">
        <v>56</v>
      </c>
      <c r="B26" s="10" t="s">
        <v>55</v>
      </c>
      <c r="C26" s="10"/>
      <c r="D26" s="10"/>
      <c r="E26" s="10"/>
      <c r="F26" s="10"/>
      <c r="G26" s="10">
        <v>1.5</v>
      </c>
      <c r="H26" s="6">
        <f t="shared" si="4"/>
        <v>1.5</v>
      </c>
    </row>
    <row r="27" spans="1:8" x14ac:dyDescent="0.2">
      <c r="A27" s="9" t="s">
        <v>54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5</v>
      </c>
      <c r="H28" s="11">
        <f>SUM(B28:G28)</f>
        <v>16.5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 t="s">
        <v>54</v>
      </c>
      <c r="B43" s="10"/>
      <c r="C43" s="10"/>
      <c r="D43" s="10"/>
      <c r="E43" s="10"/>
      <c r="F43" s="10"/>
      <c r="G43" s="10">
        <v>3.5</v>
      </c>
      <c r="H43" s="6">
        <f t="shared" si="9"/>
        <v>3.5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3.5</v>
      </c>
      <c r="H46" s="11">
        <f>SUM(B46:G46)</f>
        <v>13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54</v>
      </c>
      <c r="B60" s="10"/>
      <c r="C60" s="10"/>
      <c r="D60" s="10"/>
      <c r="E60" s="10"/>
      <c r="F60" s="10"/>
      <c r="G60" s="10">
        <v>3.5</v>
      </c>
      <c r="H60" s="6">
        <f t="shared" ref="H60:H63" si="15">SUM(B60:G60)</f>
        <v>3.5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3.5</v>
      </c>
      <c r="H64" s="11">
        <f>SUM(B64:G64)</f>
        <v>8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/>
      <c r="G68" s="10"/>
      <c r="H68" s="6">
        <f>SUM(B68:G68)</f>
        <v>2.5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2.5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topLeftCell="A54" zoomScaleNormal="100" workbookViewId="0">
      <selection activeCell="C70" sqref="C7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54</v>
      </c>
      <c r="B6" s="10"/>
      <c r="C6" s="10">
        <v>2.5</v>
      </c>
      <c r="D6" s="10"/>
      <c r="E6" s="10"/>
      <c r="F6" s="10"/>
      <c r="G6" s="10"/>
      <c r="H6" s="6">
        <f t="shared" ref="H6:H9" si="0">SUM(B6:G6)</f>
        <v>2.5</v>
      </c>
    </row>
    <row r="7" spans="1:8" s="1" customFormat="1" ht="12.75" x14ac:dyDescent="0.2">
      <c r="A7" s="9" t="s">
        <v>63</v>
      </c>
      <c r="B7" s="10"/>
      <c r="C7" s="10"/>
      <c r="D7" s="10">
        <v>1.5</v>
      </c>
      <c r="E7" s="10"/>
      <c r="F7" s="10"/>
      <c r="G7" s="10">
        <v>3</v>
      </c>
      <c r="H7" s="6">
        <f t="shared" si="0"/>
        <v>4.5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2.5</v>
      </c>
      <c r="D10" s="11">
        <f t="shared" si="1"/>
        <v>1.5</v>
      </c>
      <c r="E10" s="11">
        <f t="shared" si="1"/>
        <v>0</v>
      </c>
      <c r="F10" s="11">
        <f t="shared" si="1"/>
        <v>2.5</v>
      </c>
      <c r="G10" s="11">
        <f t="shared" si="1"/>
        <v>3</v>
      </c>
      <c r="H10" s="11">
        <f>SUM(B10:G10)</f>
        <v>12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54</v>
      </c>
      <c r="B15" s="10"/>
      <c r="C15" s="10">
        <v>2.5</v>
      </c>
      <c r="D15" s="10"/>
      <c r="E15" s="10"/>
      <c r="F15" s="10"/>
      <c r="G15" s="10"/>
      <c r="H15" s="6">
        <f t="shared" ref="H15:H18" si="2">SUM(B15:G15)</f>
        <v>2.5</v>
      </c>
    </row>
    <row r="16" spans="1:8" x14ac:dyDescent="0.2">
      <c r="A16" s="9" t="s">
        <v>61</v>
      </c>
      <c r="B16" s="10"/>
      <c r="C16" s="10">
        <v>1</v>
      </c>
      <c r="D16" s="10"/>
      <c r="E16" s="10"/>
      <c r="F16" s="10"/>
      <c r="G16" s="10"/>
      <c r="H16" s="6">
        <f t="shared" si="2"/>
        <v>1</v>
      </c>
    </row>
    <row r="17" spans="1:8" x14ac:dyDescent="0.2">
      <c r="A17" s="9" t="s">
        <v>73</v>
      </c>
      <c r="B17" s="10"/>
      <c r="C17" s="10"/>
      <c r="D17" s="10"/>
      <c r="E17" s="10"/>
      <c r="F17" s="10"/>
      <c r="G17" s="10">
        <v>2</v>
      </c>
      <c r="H17" s="6">
        <f t="shared" si="2"/>
        <v>2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3.5</v>
      </c>
      <c r="D19" s="11">
        <f t="shared" si="3"/>
        <v>0</v>
      </c>
      <c r="E19" s="11">
        <f t="shared" si="3"/>
        <v>0</v>
      </c>
      <c r="F19" s="11">
        <f t="shared" si="3"/>
        <v>2.5</v>
      </c>
      <c r="G19" s="11">
        <f t="shared" si="3"/>
        <v>2</v>
      </c>
      <c r="H19" s="11">
        <f>SUM(B19:G19)</f>
        <v>10.5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54</v>
      </c>
      <c r="B24" s="10">
        <v>1.5</v>
      </c>
      <c r="C24" s="10">
        <v>2.5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59</v>
      </c>
      <c r="B25" s="10"/>
      <c r="C25" s="10"/>
      <c r="D25" s="10"/>
      <c r="E25" s="10">
        <v>1</v>
      </c>
      <c r="F25" s="10"/>
      <c r="G25" s="10">
        <v>1.5</v>
      </c>
      <c r="H25" s="6">
        <f t="shared" si="4"/>
        <v>2.5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2.5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1.5</v>
      </c>
      <c r="H28" s="11">
        <f>SUM(B28:G28)</f>
        <v>11.5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54</v>
      </c>
      <c r="B33" s="10"/>
      <c r="C33" s="10">
        <v>2.5</v>
      </c>
      <c r="D33" s="10"/>
      <c r="E33" s="10"/>
      <c r="F33" s="10"/>
      <c r="G33" s="10"/>
      <c r="H33" s="6">
        <f t="shared" ref="H33:H36" si="6">SUM(B33:G33)</f>
        <v>2.5</v>
      </c>
    </row>
    <row r="34" spans="1:8" x14ac:dyDescent="0.2">
      <c r="A34" s="9" t="s">
        <v>62</v>
      </c>
      <c r="B34" s="10"/>
      <c r="C34" s="10"/>
      <c r="D34" s="10"/>
      <c r="E34" s="10">
        <v>3</v>
      </c>
      <c r="F34" s="10"/>
      <c r="G34" s="10"/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2.5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10.5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58</v>
      </c>
      <c r="B42" s="10">
        <v>1.5</v>
      </c>
      <c r="C42" s="10"/>
      <c r="D42" s="10">
        <v>1</v>
      </c>
      <c r="E42" s="10"/>
      <c r="F42" s="10"/>
      <c r="G42" s="10"/>
      <c r="H42" s="6">
        <f t="shared" ref="H42:H45" si="9">SUM(B42:G42)</f>
        <v>2.5</v>
      </c>
    </row>
    <row r="43" spans="1:8" x14ac:dyDescent="0.2">
      <c r="A43" s="9" t="s">
        <v>54</v>
      </c>
      <c r="B43" s="10">
        <v>1.5</v>
      </c>
      <c r="C43" s="10">
        <v>2.5</v>
      </c>
      <c r="D43" s="10"/>
      <c r="E43" s="10"/>
      <c r="F43" s="10"/>
      <c r="G43" s="10"/>
      <c r="H43" s="6">
        <f t="shared" si="9"/>
        <v>4</v>
      </c>
    </row>
    <row r="44" spans="1:8" x14ac:dyDescent="0.2">
      <c r="A44" s="9" t="s">
        <v>66</v>
      </c>
      <c r="B44" s="10"/>
      <c r="C44" s="10"/>
      <c r="D44" s="10"/>
      <c r="E44" s="10"/>
      <c r="F44" s="10"/>
      <c r="G44" s="10">
        <v>1</v>
      </c>
      <c r="H44" s="6">
        <f t="shared" si="9"/>
        <v>1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2.5</v>
      </c>
      <c r="D46" s="11">
        <f t="shared" si="10"/>
        <v>1</v>
      </c>
      <c r="E46" s="11">
        <f t="shared" si="10"/>
        <v>0</v>
      </c>
      <c r="F46" s="11">
        <f t="shared" si="10"/>
        <v>2.5</v>
      </c>
      <c r="G46" s="11">
        <f t="shared" si="10"/>
        <v>1</v>
      </c>
      <c r="H46" s="11">
        <f>SUM(B46:G46)</f>
        <v>12.5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60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 t="s">
        <v>54</v>
      </c>
      <c r="B52" s="10"/>
      <c r="C52" s="10">
        <v>2.5</v>
      </c>
      <c r="D52" s="10"/>
      <c r="E52" s="10"/>
      <c r="F52" s="10"/>
      <c r="G52" s="10"/>
      <c r="H52" s="6">
        <f t="shared" si="12"/>
        <v>2.5</v>
      </c>
    </row>
    <row r="53" spans="1:8" x14ac:dyDescent="0.2">
      <c r="A53" s="9" t="s">
        <v>70</v>
      </c>
      <c r="B53" s="10"/>
      <c r="C53" s="10"/>
      <c r="D53" s="10"/>
      <c r="E53" s="10"/>
      <c r="F53" s="10"/>
      <c r="G53" s="10">
        <v>1</v>
      </c>
      <c r="H53" s="6">
        <f t="shared" si="12"/>
        <v>1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2.5</v>
      </c>
      <c r="D55" s="11">
        <f t="shared" si="13"/>
        <v>0</v>
      </c>
      <c r="E55" s="11">
        <f t="shared" si="13"/>
        <v>4</v>
      </c>
      <c r="F55" s="11">
        <f t="shared" si="13"/>
        <v>2.5</v>
      </c>
      <c r="G55" s="11">
        <f t="shared" si="13"/>
        <v>1</v>
      </c>
      <c r="H55" s="11">
        <f>SUM(B55:G55)</f>
        <v>12.5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54</v>
      </c>
      <c r="B60" s="10">
        <v>1.5</v>
      </c>
      <c r="C60" s="10">
        <v>2.5</v>
      </c>
      <c r="D60" s="10"/>
      <c r="E60" s="10"/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4</v>
      </c>
      <c r="C64" s="11">
        <f t="shared" si="16"/>
        <v>2.5</v>
      </c>
      <c r="D64" s="11">
        <f t="shared" si="16"/>
        <v>0</v>
      </c>
      <c r="E64" s="11">
        <f t="shared" si="16"/>
        <v>0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54</v>
      </c>
      <c r="B69" s="10"/>
      <c r="C69" s="10">
        <v>2.5</v>
      </c>
      <c r="D69" s="10"/>
      <c r="E69" s="10"/>
      <c r="F69" s="10"/>
      <c r="G69" s="10"/>
      <c r="H69" s="6">
        <f t="shared" ref="H69:H72" si="18">SUM(B69:G69)</f>
        <v>2.5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2.5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7.5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topLeftCell="A48" zoomScaleNormal="100" workbookViewId="0">
      <selection activeCell="A69" sqref="A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72</v>
      </c>
      <c r="B6" s="10"/>
      <c r="C6" s="10"/>
      <c r="D6" s="10"/>
      <c r="E6" s="10">
        <v>2</v>
      </c>
      <c r="F6" s="10"/>
      <c r="G6" s="10"/>
      <c r="H6" s="6">
        <f t="shared" ref="H6:H9" si="0">SUM(B6:G6)</f>
        <v>2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2.5</v>
      </c>
      <c r="G10" s="11">
        <f t="shared" si="1"/>
        <v>0</v>
      </c>
      <c r="H10" s="11">
        <f>SUM(B10:G10)</f>
        <v>7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74</v>
      </c>
      <c r="B15" s="10"/>
      <c r="C15" s="10"/>
      <c r="D15" s="10"/>
      <c r="E15" s="10">
        <v>2.5</v>
      </c>
      <c r="F15" s="10"/>
      <c r="G15" s="10"/>
      <c r="H15" s="6">
        <f t="shared" ref="H15:H18" si="2">SUM(B15:G15)</f>
        <v>2.5</v>
      </c>
    </row>
    <row r="16" spans="1:8" x14ac:dyDescent="0.2">
      <c r="A16" s="9" t="s">
        <v>78</v>
      </c>
      <c r="B16" s="10"/>
      <c r="C16" s="10"/>
      <c r="D16" s="10"/>
      <c r="E16" s="10"/>
      <c r="F16" s="10"/>
      <c r="G16" s="10">
        <v>1</v>
      </c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2.5</v>
      </c>
      <c r="F19" s="11">
        <f t="shared" si="3"/>
        <v>2.5</v>
      </c>
      <c r="G19" s="11">
        <f t="shared" si="3"/>
        <v>1</v>
      </c>
      <c r="H19" s="11">
        <f>SUM(B19:G19)</f>
        <v>8.5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64</v>
      </c>
      <c r="B24" s="10"/>
      <c r="C24" s="10">
        <v>4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65</v>
      </c>
      <c r="B25" s="10"/>
      <c r="C25" s="10"/>
      <c r="D25" s="10"/>
      <c r="E25" s="10">
        <v>1</v>
      </c>
      <c r="F25" s="10"/>
      <c r="G25" s="10">
        <v>1</v>
      </c>
      <c r="H25" s="6">
        <f t="shared" si="4"/>
        <v>2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4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</v>
      </c>
      <c r="H28" s="11">
        <f>SUM(B28:G28)</f>
        <v>11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69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8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67</v>
      </c>
      <c r="B42" s="10">
        <v>3</v>
      </c>
      <c r="C42" s="10"/>
      <c r="D42" s="10"/>
      <c r="E42" s="10">
        <v>3</v>
      </c>
      <c r="F42" s="10"/>
      <c r="G42" s="10"/>
      <c r="H42" s="6">
        <f t="shared" ref="H42:H45" si="9">SUM(B42:G42)</f>
        <v>6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0</v>
      </c>
      <c r="D46" s="11">
        <f t="shared" si="10"/>
        <v>0</v>
      </c>
      <c r="E46" s="11">
        <f t="shared" si="10"/>
        <v>3</v>
      </c>
      <c r="F46" s="11">
        <f t="shared" si="10"/>
        <v>2.5</v>
      </c>
      <c r="G46" s="11">
        <f t="shared" si="10"/>
        <v>0</v>
      </c>
      <c r="H46" s="11">
        <f>SUM(B46:G46)</f>
        <v>11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70</v>
      </c>
      <c r="B51" s="10"/>
      <c r="C51" s="10"/>
      <c r="D51" s="10">
        <v>3</v>
      </c>
      <c r="E51" s="10"/>
      <c r="F51" s="10"/>
      <c r="G51" s="10"/>
      <c r="H51" s="6">
        <f t="shared" ref="H51:H54" si="12">SUM(B51:G51)</f>
        <v>3</v>
      </c>
    </row>
    <row r="52" spans="1:8" x14ac:dyDescent="0.2">
      <c r="A52" s="9" t="s">
        <v>71</v>
      </c>
      <c r="B52" s="10"/>
      <c r="C52" s="10"/>
      <c r="D52" s="10"/>
      <c r="E52" s="10">
        <v>3.5</v>
      </c>
      <c r="F52" s="10"/>
      <c r="G52" s="10"/>
      <c r="H52" s="6">
        <f t="shared" si="12"/>
        <v>3.5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3</v>
      </c>
      <c r="E55" s="11">
        <f t="shared" si="13"/>
        <v>3.5</v>
      </c>
      <c r="F55" s="11">
        <f t="shared" si="13"/>
        <v>2.5</v>
      </c>
      <c r="G55" s="11">
        <f t="shared" si="13"/>
        <v>0</v>
      </c>
      <c r="H55" s="11">
        <f>SUM(B55:G55)</f>
        <v>11.5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67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68</v>
      </c>
      <c r="B69" s="10">
        <v>2</v>
      </c>
      <c r="C69" s="10"/>
      <c r="D69" s="10"/>
      <c r="E69" s="10"/>
      <c r="F69" s="10"/>
      <c r="G69" s="10"/>
      <c r="H69" s="6">
        <f t="shared" ref="H69:H72" si="18">SUM(B69:G69)</f>
        <v>2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4.5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topLeftCell="A48" zoomScaleNormal="100" workbookViewId="0">
      <selection activeCell="G71" sqref="G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">
        <v>37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>
        <v>1</v>
      </c>
      <c r="E5" s="10">
        <v>0.5</v>
      </c>
      <c r="F5" s="10">
        <v>2.5</v>
      </c>
      <c r="G5" s="10"/>
      <c r="H5" s="6">
        <f>SUM(B5:G5)</f>
        <v>6.5</v>
      </c>
    </row>
    <row r="6" spans="1:8" x14ac:dyDescent="0.2">
      <c r="A6" s="9" t="s">
        <v>72</v>
      </c>
      <c r="B6" s="10">
        <v>1</v>
      </c>
      <c r="C6" s="10"/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79</v>
      </c>
      <c r="B7" s="10">
        <v>1</v>
      </c>
      <c r="C7" s="10"/>
      <c r="D7" s="10"/>
      <c r="E7" s="10"/>
      <c r="F7" s="10"/>
      <c r="G7" s="10"/>
      <c r="H7" s="6">
        <f t="shared" si="0"/>
        <v>1</v>
      </c>
    </row>
    <row r="8" spans="1:8" s="1" customFormat="1" ht="12.75" x14ac:dyDescent="0.2">
      <c r="A8" s="9" t="s">
        <v>89</v>
      </c>
      <c r="B8" s="10"/>
      <c r="C8" s="10"/>
      <c r="D8" s="10"/>
      <c r="E8" s="10"/>
      <c r="F8" s="10"/>
      <c r="G8" s="10">
        <v>2</v>
      </c>
      <c r="H8" s="6">
        <f t="shared" si="0"/>
        <v>2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4.5</v>
      </c>
      <c r="C10" s="11">
        <f t="shared" si="1"/>
        <v>0</v>
      </c>
      <c r="D10" s="11">
        <f t="shared" si="1"/>
        <v>1</v>
      </c>
      <c r="E10" s="11">
        <f t="shared" si="1"/>
        <v>0.5</v>
      </c>
      <c r="F10" s="11">
        <f t="shared" si="1"/>
        <v>2.5</v>
      </c>
      <c r="G10" s="11">
        <f t="shared" si="1"/>
        <v>2</v>
      </c>
      <c r="H10" s="11">
        <f>SUM(B10:G10)</f>
        <v>10.5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'Week (1)'!$B$3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>
        <v>1</v>
      </c>
      <c r="E14" s="10">
        <v>0.5</v>
      </c>
      <c r="F14" s="10">
        <v>2.5</v>
      </c>
      <c r="G14" s="10"/>
      <c r="H14" s="6">
        <f>SUM(B14:G14)</f>
        <v>6.5</v>
      </c>
    </row>
    <row r="15" spans="1:8" x14ac:dyDescent="0.2">
      <c r="A15" s="9" t="s">
        <v>76</v>
      </c>
      <c r="B15" s="10"/>
      <c r="C15" s="10">
        <v>1</v>
      </c>
      <c r="D15" s="10"/>
      <c r="E15" s="10"/>
      <c r="F15" s="10"/>
      <c r="G15" s="10"/>
      <c r="H15" s="6">
        <f t="shared" ref="H15:H18" si="2">SUM(B15:G15)</f>
        <v>1</v>
      </c>
    </row>
    <row r="16" spans="1:8" x14ac:dyDescent="0.2">
      <c r="A16" s="9" t="s">
        <v>77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 t="s">
        <v>93</v>
      </c>
      <c r="B17" s="10"/>
      <c r="C17" s="10"/>
      <c r="D17" s="10"/>
      <c r="E17" s="10"/>
      <c r="F17" s="10"/>
      <c r="G17" s="10">
        <v>1</v>
      </c>
      <c r="H17" s="6">
        <f t="shared" si="2"/>
        <v>1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1.5</v>
      </c>
      <c r="F19" s="11">
        <f t="shared" si="3"/>
        <v>2.5</v>
      </c>
      <c r="G19" s="11">
        <f t="shared" si="3"/>
        <v>1</v>
      </c>
      <c r="H19" s="11">
        <f>SUM(B19:G19)</f>
        <v>9.5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>
        <v>1</v>
      </c>
      <c r="E23" s="10"/>
      <c r="F23" s="10">
        <v>2.5</v>
      </c>
      <c r="G23" s="10"/>
      <c r="H23" s="6">
        <f>SUM(B23:G23)</f>
        <v>6</v>
      </c>
    </row>
    <row r="24" spans="1:8" x14ac:dyDescent="0.2">
      <c r="A24" s="9" t="s">
        <v>85</v>
      </c>
      <c r="B24" s="10"/>
      <c r="C24" s="10">
        <v>1</v>
      </c>
      <c r="D24" s="10"/>
      <c r="E24" s="10">
        <v>0.5</v>
      </c>
      <c r="F24" s="10">
        <v>0.5</v>
      </c>
      <c r="G24" s="10">
        <v>1</v>
      </c>
      <c r="H24" s="6">
        <f t="shared" ref="H24:H27" si="4">SUM(B24:G24)</f>
        <v>3</v>
      </c>
    </row>
    <row r="25" spans="1:8" x14ac:dyDescent="0.2">
      <c r="A25" s="9" t="s">
        <v>75</v>
      </c>
      <c r="B25" s="10">
        <v>1.5</v>
      </c>
      <c r="C25" s="10"/>
      <c r="D25" s="10"/>
      <c r="E25" s="10">
        <v>0.5</v>
      </c>
      <c r="F25" s="10"/>
      <c r="G25" s="10"/>
      <c r="H25" s="6">
        <f t="shared" si="4"/>
        <v>2</v>
      </c>
    </row>
    <row r="26" spans="1:8" x14ac:dyDescent="0.2">
      <c r="A26" s="9" t="s">
        <v>54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 t="s">
        <v>84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1</v>
      </c>
      <c r="D28" s="11">
        <f t="shared" si="5"/>
        <v>1</v>
      </c>
      <c r="E28" s="11">
        <f t="shared" si="5"/>
        <v>1.5</v>
      </c>
      <c r="F28" s="11">
        <f t="shared" si="5"/>
        <v>3</v>
      </c>
      <c r="G28" s="11">
        <f t="shared" si="5"/>
        <v>4.5</v>
      </c>
      <c r="H28" s="11">
        <f>SUM(B28:G28)</f>
        <v>15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2.5</v>
      </c>
      <c r="G37" s="11">
        <f t="shared" si="7"/>
        <v>0</v>
      </c>
      <c r="H37" s="11">
        <f>SUM(B37:G37)</f>
        <v>4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81</v>
      </c>
      <c r="B42" s="10"/>
      <c r="C42" s="10"/>
      <c r="D42" s="10"/>
      <c r="E42" s="10">
        <v>1.5</v>
      </c>
      <c r="F42" s="10"/>
      <c r="G42" s="10">
        <v>2</v>
      </c>
      <c r="H42" s="6">
        <f t="shared" ref="H42:H45" si="9">SUM(B42:G42)</f>
        <v>3.5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0</v>
      </c>
      <c r="E46" s="11">
        <f t="shared" si="10"/>
        <v>1.5</v>
      </c>
      <c r="F46" s="11">
        <f t="shared" si="10"/>
        <v>2.5</v>
      </c>
      <c r="G46" s="11">
        <f t="shared" si="10"/>
        <v>2</v>
      </c>
      <c r="H46" s="11">
        <f>SUM(B46:G46)</f>
        <v>8.5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>
        <v>1</v>
      </c>
      <c r="E50" s="10"/>
      <c r="F50" s="10">
        <v>2.5</v>
      </c>
      <c r="G50" s="10"/>
      <c r="H50" s="6">
        <f>SUM(B50:G50)</f>
        <v>6</v>
      </c>
    </row>
    <row r="51" spans="1:8" x14ac:dyDescent="0.2">
      <c r="A51" s="9" t="s">
        <v>80</v>
      </c>
      <c r="B51" s="10"/>
      <c r="C51" s="10"/>
      <c r="D51" s="10"/>
      <c r="E51" s="10">
        <v>4</v>
      </c>
      <c r="F51" s="10"/>
      <c r="G51" s="10">
        <v>4</v>
      </c>
      <c r="H51" s="6">
        <f t="shared" ref="H51:H54" si="12">SUM(B51:G51)</f>
        <v>8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1</v>
      </c>
      <c r="E55" s="11">
        <f t="shared" si="13"/>
        <v>4</v>
      </c>
      <c r="F55" s="11">
        <f t="shared" si="13"/>
        <v>2.5</v>
      </c>
      <c r="G55" s="11">
        <f t="shared" si="13"/>
        <v>4</v>
      </c>
      <c r="H55" s="11">
        <f>SUM(B55:G55)</f>
        <v>14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>
        <v>1</v>
      </c>
      <c r="E59" s="10"/>
      <c r="F59" s="10">
        <v>2.5</v>
      </c>
      <c r="G59" s="10"/>
      <c r="H59" s="6">
        <f>SUM(B59:G59)</f>
        <v>6</v>
      </c>
    </row>
    <row r="60" spans="1:8" x14ac:dyDescent="0.2">
      <c r="A60" s="9" t="s">
        <v>82</v>
      </c>
      <c r="B60" s="10"/>
      <c r="C60" s="10"/>
      <c r="D60" s="10"/>
      <c r="E60" s="10"/>
      <c r="F60" s="10">
        <v>4</v>
      </c>
      <c r="G60" s="10">
        <v>1</v>
      </c>
      <c r="H60" s="6">
        <f t="shared" ref="H60:H63" si="15">SUM(B60:G60)</f>
        <v>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1</v>
      </c>
      <c r="E64" s="11">
        <f t="shared" si="16"/>
        <v>0</v>
      </c>
      <c r="F64" s="11">
        <f t="shared" si="16"/>
        <v>6.5</v>
      </c>
      <c r="G64" s="11">
        <f t="shared" si="16"/>
        <v>1</v>
      </c>
      <c r="H64" s="11">
        <f>SUM(B64:G64)</f>
        <v>11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>
        <v>1</v>
      </c>
      <c r="E68" s="10"/>
      <c r="F68" s="10">
        <v>2.5</v>
      </c>
      <c r="G68" s="10"/>
      <c r="H68" s="6">
        <f>SUM(B68:G68)</f>
        <v>6</v>
      </c>
    </row>
    <row r="69" spans="1:8" x14ac:dyDescent="0.2">
      <c r="A69" s="9" t="s">
        <v>83</v>
      </c>
      <c r="B69" s="10"/>
      <c r="C69" s="10"/>
      <c r="D69" s="10">
        <v>1</v>
      </c>
      <c r="E69" s="10"/>
      <c r="F69" s="10"/>
      <c r="G69" s="10"/>
      <c r="H69" s="6">
        <f t="shared" ref="H69:H72" si="18">SUM(B69:G69)</f>
        <v>1</v>
      </c>
    </row>
    <row r="70" spans="1:8" x14ac:dyDescent="0.2">
      <c r="A70" s="9" t="s">
        <v>96</v>
      </c>
      <c r="B70" s="10"/>
      <c r="C70" s="10"/>
      <c r="D70" s="10"/>
      <c r="E70" s="10"/>
      <c r="F70" s="10"/>
      <c r="G70" s="10">
        <v>1</v>
      </c>
      <c r="H70" s="6">
        <f t="shared" si="18"/>
        <v>1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2</v>
      </c>
      <c r="E73" s="11">
        <f t="shared" si="19"/>
        <v>0</v>
      </c>
      <c r="F73" s="11">
        <f t="shared" si="19"/>
        <v>2.5</v>
      </c>
      <c r="G73" s="11">
        <f t="shared" si="19"/>
        <v>1</v>
      </c>
      <c r="H73" s="11">
        <f>SUM(B73:G73)</f>
        <v>8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zoomScaleNormal="100" workbookViewId="0">
      <selection activeCell="E69" sqref="E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90</v>
      </c>
      <c r="B6" s="10"/>
      <c r="C6" s="10"/>
      <c r="D6" s="10"/>
      <c r="E6" s="10">
        <v>1</v>
      </c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88</v>
      </c>
      <c r="B7" s="10"/>
      <c r="C7" s="10"/>
      <c r="D7" s="10"/>
      <c r="E7" s="10">
        <v>0.5</v>
      </c>
      <c r="F7" s="10">
        <v>0.5</v>
      </c>
      <c r="G7" s="10"/>
      <c r="H7" s="6">
        <f t="shared" si="0"/>
        <v>1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1.5</v>
      </c>
      <c r="F10" s="11">
        <f t="shared" si="1"/>
        <v>3</v>
      </c>
      <c r="G10" s="11">
        <f t="shared" si="1"/>
        <v>0</v>
      </c>
      <c r="H10" s="11">
        <f>SUM(B10:G10)</f>
        <v>7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88</v>
      </c>
      <c r="B15" s="10"/>
      <c r="C15" s="10"/>
      <c r="D15" s="10"/>
      <c r="E15" s="10">
        <v>0.5</v>
      </c>
      <c r="F15" s="10"/>
      <c r="G15" s="10"/>
      <c r="H15" s="6">
        <f t="shared" ref="H15:H18" si="2">SUM(B15:G15)</f>
        <v>0.5</v>
      </c>
    </row>
    <row r="16" spans="1:8" x14ac:dyDescent="0.2">
      <c r="A16" s="9" t="s">
        <v>94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1.5</v>
      </c>
      <c r="F19" s="11">
        <f t="shared" si="3"/>
        <v>2.5</v>
      </c>
      <c r="G19" s="11">
        <f t="shared" si="3"/>
        <v>0</v>
      </c>
      <c r="H19" s="11">
        <f>SUM(B19:G19)</f>
        <v>6.5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86</v>
      </c>
      <c r="B24" s="10"/>
      <c r="C24" s="10">
        <v>0.5</v>
      </c>
      <c r="D24" s="10"/>
      <c r="E24" s="10"/>
      <c r="F24" s="10"/>
      <c r="G24" s="10"/>
      <c r="H24" s="6">
        <f t="shared" ref="H24:H27" si="4">SUM(B24:G24)</f>
        <v>0.5</v>
      </c>
    </row>
    <row r="25" spans="1:8" x14ac:dyDescent="0.2">
      <c r="A25" s="9" t="s">
        <v>87</v>
      </c>
      <c r="B25" s="10"/>
      <c r="C25" s="10"/>
      <c r="D25" s="10"/>
      <c r="E25" s="10">
        <v>2.5</v>
      </c>
      <c r="F25" s="10"/>
      <c r="G25" s="10"/>
      <c r="H25" s="6">
        <f t="shared" si="4"/>
        <v>2.5</v>
      </c>
    </row>
    <row r="26" spans="1:8" x14ac:dyDescent="0.2">
      <c r="A26" s="9" t="s">
        <v>88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0.5</v>
      </c>
      <c r="D28" s="11">
        <f t="shared" si="5"/>
        <v>0</v>
      </c>
      <c r="E28" s="11">
        <f t="shared" si="5"/>
        <v>3</v>
      </c>
      <c r="F28" s="11">
        <f t="shared" si="5"/>
        <v>2.5</v>
      </c>
      <c r="G28" s="11">
        <f t="shared" si="5"/>
        <v>0</v>
      </c>
      <c r="H28" s="11">
        <f>SUM(B28:G28)</f>
        <v>8.5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 t="s">
        <v>95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'Week (1)'!B$4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91</v>
      </c>
      <c r="B42" s="10"/>
      <c r="C42" s="10">
        <v>1</v>
      </c>
      <c r="D42" s="10">
        <v>2</v>
      </c>
      <c r="E42" s="10"/>
      <c r="F42" s="10"/>
      <c r="G42" s="10"/>
      <c r="H42" s="6">
        <f t="shared" ref="H42:H45" si="9">SUM(B42:G42)</f>
        <v>3</v>
      </c>
    </row>
    <row r="43" spans="1:8" x14ac:dyDescent="0.2">
      <c r="A43" s="9" t="s">
        <v>88</v>
      </c>
      <c r="B43" s="10"/>
      <c r="C43" s="10"/>
      <c r="D43" s="10">
        <v>1</v>
      </c>
      <c r="E43" s="10"/>
      <c r="F43" s="10"/>
      <c r="G43" s="10"/>
      <c r="H43" s="6">
        <f t="shared" si="9"/>
        <v>1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1</v>
      </c>
      <c r="D46" s="11">
        <f t="shared" si="10"/>
        <v>3</v>
      </c>
      <c r="E46" s="11">
        <f t="shared" si="10"/>
        <v>0</v>
      </c>
      <c r="F46" s="11">
        <f t="shared" si="10"/>
        <v>2.5</v>
      </c>
      <c r="G46" s="11">
        <f t="shared" si="10"/>
        <v>0</v>
      </c>
      <c r="H46" s="11">
        <f>SUM(B46:G46)</f>
        <v>9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92</v>
      </c>
      <c r="B51" s="10"/>
      <c r="C51" s="10">
        <v>1.5</v>
      </c>
      <c r="D51" s="10"/>
      <c r="E51" s="10"/>
      <c r="F51" s="10"/>
      <c r="G51" s="10"/>
      <c r="H51" s="6">
        <f t="shared" ref="H51:H54" si="12">SUM(B51:G51)</f>
        <v>1.5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1.5</v>
      </c>
      <c r="D55" s="11">
        <f t="shared" si="13"/>
        <v>0</v>
      </c>
      <c r="E55" s="11">
        <f t="shared" si="13"/>
        <v>0</v>
      </c>
      <c r="F55" s="11">
        <f t="shared" si="13"/>
        <v>2.5</v>
      </c>
      <c r="G55" s="11">
        <f t="shared" si="13"/>
        <v>0</v>
      </c>
      <c r="H55" s="11">
        <f>SUM(B55:G55)</f>
        <v>6.5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82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97</v>
      </c>
      <c r="B69" s="10">
        <v>4</v>
      </c>
      <c r="C69" s="10"/>
      <c r="D69" s="10"/>
      <c r="E69" s="10">
        <v>3</v>
      </c>
      <c r="F69" s="10"/>
      <c r="G69" s="10"/>
      <c r="H69" s="6">
        <f t="shared" ref="H69:H72" si="18">SUM(B69:G69)</f>
        <v>7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6.5</v>
      </c>
      <c r="C73" s="11">
        <f t="shared" si="19"/>
        <v>0</v>
      </c>
      <c r="D73" s="11">
        <f t="shared" si="19"/>
        <v>0</v>
      </c>
      <c r="E73" s="11">
        <f t="shared" si="19"/>
        <v>3</v>
      </c>
      <c r="F73" s="11">
        <f t="shared" si="19"/>
        <v>2.5</v>
      </c>
      <c r="G73" s="11">
        <f t="shared" si="19"/>
        <v>0</v>
      </c>
      <c r="H73" s="11">
        <f>SUM(B73:G73)</f>
        <v>12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A129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3" t="str">
        <f>'Week (1)'!$B$1</f>
        <v>Total hours</v>
      </c>
      <c r="C1" s="43"/>
      <c r="D1" s="43"/>
      <c r="E1" s="43"/>
      <c r="F1" s="43"/>
      <c r="G1" s="43"/>
      <c r="H1" s="44"/>
    </row>
    <row r="3" spans="1:8" ht="23.25" x14ac:dyDescent="0.2">
      <c r="A3" s="13" t="str">
        <f>Total!D2</f>
        <v>Nestoras</v>
      </c>
      <c r="B3" s="40" t="str">
        <f>'Week (1)'!$B$3</f>
        <v>Hours</v>
      </c>
      <c r="C3" s="41"/>
      <c r="D3" s="41"/>
      <c r="E3" s="41"/>
      <c r="F3" s="41"/>
      <c r="G3" s="41"/>
      <c r="H3" s="42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0" t="str">
        <f>$B$3</f>
        <v>Hours</v>
      </c>
      <c r="C12" s="41"/>
      <c r="D12" s="41"/>
      <c r="E12" s="41"/>
      <c r="F12" s="41"/>
      <c r="G12" s="41"/>
      <c r="H12" s="42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0" t="str">
        <f>$B$3</f>
        <v>Hours</v>
      </c>
      <c r="C21" s="41"/>
      <c r="D21" s="41"/>
      <c r="E21" s="41"/>
      <c r="F21" s="41"/>
      <c r="G21" s="41"/>
      <c r="H21" s="42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0" t="str">
        <f>$B$3</f>
        <v>Hours</v>
      </c>
      <c r="C30" s="41"/>
      <c r="D30" s="41"/>
      <c r="E30" s="41"/>
      <c r="F30" s="41"/>
      <c r="G30" s="41"/>
      <c r="H30" s="42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0" t="str">
        <f>$B$3</f>
        <v>Hours</v>
      </c>
      <c r="C39" s="41"/>
      <c r="D39" s="41"/>
      <c r="E39" s="41"/>
      <c r="F39" s="41"/>
      <c r="G39" s="41"/>
      <c r="H39" s="42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0" t="str">
        <f>$B$3</f>
        <v>Hours</v>
      </c>
      <c r="C48" s="41"/>
      <c r="D48" s="41"/>
      <c r="E48" s="41"/>
      <c r="F48" s="41"/>
      <c r="G48" s="41"/>
      <c r="H48" s="42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0" t="str">
        <f>$B$3</f>
        <v>Hours</v>
      </c>
      <c r="C57" s="41"/>
      <c r="D57" s="41"/>
      <c r="E57" s="41"/>
      <c r="F57" s="41"/>
      <c r="G57" s="41"/>
      <c r="H57" s="42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0" t="str">
        <f>$B$3</f>
        <v>Hours</v>
      </c>
      <c r="C66" s="41"/>
      <c r="D66" s="41"/>
      <c r="E66" s="41"/>
      <c r="F66" s="41"/>
      <c r="G66" s="41"/>
      <c r="H66" s="42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0" t="str">
        <f>$B$3</f>
        <v>Hours</v>
      </c>
      <c r="C75" s="41"/>
      <c r="D75" s="41"/>
      <c r="E75" s="41"/>
      <c r="F75" s="41"/>
      <c r="G75" s="41"/>
      <c r="H75" s="42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0" t="str">
        <f>$B$3</f>
        <v>Hours</v>
      </c>
      <c r="C84" s="41"/>
      <c r="D84" s="41"/>
      <c r="E84" s="41"/>
      <c r="F84" s="41"/>
      <c r="G84" s="41"/>
      <c r="H84" s="42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1:H1"/>
    <mergeCell ref="B3:H3"/>
    <mergeCell ref="B12:H12"/>
    <mergeCell ref="B21:H21"/>
    <mergeCell ref="B30:H30"/>
    <mergeCell ref="B84:H84"/>
    <mergeCell ref="B39:H39"/>
    <mergeCell ref="B48:H48"/>
    <mergeCell ref="B57:H57"/>
    <mergeCell ref="B66:H66"/>
    <mergeCell ref="B75:H75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2024-12-20T13:55:31Z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